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xmlns:r="http://schemas.openxmlformats.org/officeDocument/2006/relationships" name="Proforma Invoice" sheetId="1" state="visible" r:id="rId1"/>
  </sheets>
  <definedNames>
    <definedName name="_xlnm.Print_Area" localSheetId="0">'Proforma Invoice'!$A$1:$H$39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6">
    <font>
      <name val="宋体"/>
      <charset val="134"/>
      <color theme="1"/>
      <sz val="11"/>
      <scheme val="minor"/>
    </font>
    <font>
      <name val="Arial"/>
      <charset val="134"/>
      <b val="1"/>
      <color rgb="FFFFFFFF"/>
      <sz val="16"/>
    </font>
    <font>
      <name val="Arial"/>
      <charset val="134"/>
      <color rgb="FFFFFFFF"/>
      <sz val="9"/>
    </font>
    <font>
      <name val="Arial"/>
      <charset val="134"/>
      <color rgb="FF2E5FA3"/>
      <sz val="9"/>
    </font>
    <font>
      <name val="Arial"/>
      <charset val="134"/>
      <b val="1"/>
      <color rgb="FF1B2A4A"/>
      <sz val="18"/>
    </font>
    <font>
      <name val="Arial"/>
      <charset val="134"/>
      <b val="1"/>
      <color rgb="FF1B2A4A"/>
      <sz val="10"/>
    </font>
    <font>
      <name val="Arial"/>
      <charset val="134"/>
      <color rgb="FF2E5FA3"/>
      <sz val="10"/>
    </font>
    <font>
      <name val="Arial"/>
      <charset val="134"/>
      <b val="1"/>
      <color rgb="FF1B2A4A"/>
      <sz val="11"/>
    </font>
    <font>
      <name val="Arial"/>
      <charset val="134"/>
      <b val="1"/>
      <color rgb="FF1B2A4A"/>
      <sz val="9"/>
    </font>
    <font>
      <name val="Arial"/>
      <charset val="134"/>
      <color rgb="FF1A1A2E"/>
      <sz val="9"/>
    </font>
    <font>
      <name val="Arial"/>
      <charset val="134"/>
      <b val="1"/>
      <color rgb="FFFFFFFF"/>
      <sz val="9"/>
    </font>
    <font>
      <name val="Arial"/>
      <charset val="134"/>
      <b val="1"/>
      <color rgb="FFFFFFFF"/>
      <sz val="10"/>
    </font>
    <font>
      <name val="Arial"/>
      <charset val="134"/>
      <color rgb="FF8B6914"/>
      <sz val="9"/>
    </font>
    <font>
      <name val="Arial"/>
      <charset val="134"/>
      <b val="1"/>
      <color rgb="FFFFFFFF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b val="1"/>
      <color rgb="FF1B2A4A"/>
      <sz val="8.5"/>
    </font>
    <font>
      <b val="1"/>
      <color rgb="00FFFFFF"/>
      <sz val="12"/>
    </font>
  </fonts>
  <fills count="40">
    <fill>
      <patternFill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2E5FA3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B2A4A"/>
        <bgColor rgb="001B2A4A"/>
      </patternFill>
    </fill>
  </fills>
  <borders count="17">
    <border>
      <left/>
      <right/>
      <top/>
      <bottom/>
      <diagonal/>
    </border>
    <border>
      <left style="medium">
        <color rgb="FF2E5FA3"/>
      </left>
      <right style="medium">
        <color rgb="FF2E5FA3"/>
      </right>
      <top style="medium">
        <color rgb="FF2E5FA3"/>
      </top>
      <bottom style="medium">
        <color rgb="FF2E5FA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medium">
        <color rgb="FF2E5FA3"/>
      </right>
      <top style="thin">
        <color rgb="FFCCCCCC"/>
      </top>
      <bottom style="thin">
        <color auto="1"/>
      </bottom>
      <diagonal/>
    </border>
    <border>
      <left/>
      <right/>
      <top style="thin">
        <color rgb="FFCCCCCC"/>
      </top>
      <bottom style="thin">
        <color auto="1"/>
      </bottom>
      <diagonal/>
    </border>
    <border>
      <left style="medium">
        <color rgb="FF2E5FA3"/>
      </left>
      <right style="thin">
        <color auto="1"/>
      </right>
      <top style="thin">
        <color rgb="FFCCCCCC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CCCCC"/>
      </top>
      <bottom/>
      <diagonal/>
    </border>
    <border>
      <left/>
      <right style="medium">
        <color rgb="FF2E5FA3"/>
      </right>
      <top style="thin">
        <color rgb="FFCCCCCC"/>
      </top>
      <bottom/>
      <diagonal/>
    </border>
    <border>
      <left/>
      <right style="medium">
        <color rgb="FF2E5FA3"/>
      </right>
      <top style="thin">
        <color rgb="FFCCCCCC"/>
      </top>
      <bottom style="thin">
        <color auto="1"/>
      </bottom>
      <diagonal/>
    </border>
  </borders>
  <cellStyleXfs count="49">
    <xf numFmtId="0" fontId="14" fillId="0" borderId="0"/>
    <xf numFmtId="43" fontId="14" fillId="0" borderId="0" applyAlignment="1">
      <alignment vertical="center"/>
    </xf>
    <xf numFmtId="44" fontId="14" fillId="0" borderId="0" applyAlignment="1">
      <alignment vertical="center"/>
    </xf>
    <xf numFmtId="9" fontId="14" fillId="0" borderId="0" applyAlignment="1">
      <alignment vertical="center"/>
    </xf>
    <xf numFmtId="41" fontId="14" fillId="0" borderId="0" applyAlignment="1">
      <alignment vertical="center"/>
    </xf>
    <xf numFmtId="42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4" fillId="8" borderId="6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7" applyAlignment="1">
      <alignment vertical="center"/>
    </xf>
    <xf numFmtId="0" fontId="21" fillId="0" borderId="7" applyAlignment="1">
      <alignment vertical="center"/>
    </xf>
    <xf numFmtId="0" fontId="22" fillId="0" borderId="8" applyAlignment="1">
      <alignment vertical="center"/>
    </xf>
    <xf numFmtId="0" fontId="22" fillId="0" borderId="0" applyAlignment="1">
      <alignment vertical="center"/>
    </xf>
    <xf numFmtId="0" fontId="23" fillId="9" borderId="9" applyAlignment="1">
      <alignment vertical="center"/>
    </xf>
    <xf numFmtId="0" fontId="24" fillId="10" borderId="10" applyAlignment="1">
      <alignment vertical="center"/>
    </xf>
    <xf numFmtId="0" fontId="25" fillId="10" borderId="9" applyAlignment="1">
      <alignment vertical="center"/>
    </xf>
    <xf numFmtId="0" fontId="26" fillId="11" borderId="11" applyAlignment="1">
      <alignment vertical="center"/>
    </xf>
    <xf numFmtId="0" fontId="27" fillId="0" borderId="12" applyAlignment="1">
      <alignment vertical="center"/>
    </xf>
    <xf numFmtId="0" fontId="28" fillId="0" borderId="13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2" fillId="15" borderId="0" applyAlignment="1">
      <alignment vertical="center"/>
    </xf>
    <xf numFmtId="0" fontId="33" fillId="16" borderId="0" applyAlignment="1">
      <alignment vertical="center"/>
    </xf>
    <xf numFmtId="0" fontId="33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3" fillId="20" borderId="0" applyAlignment="1">
      <alignment vertical="center"/>
    </xf>
    <xf numFmtId="0" fontId="33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3" fillId="24" borderId="0" applyAlignment="1">
      <alignment vertical="center"/>
    </xf>
    <xf numFmtId="0" fontId="33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3" fillId="28" borderId="0" applyAlignment="1">
      <alignment vertical="center"/>
    </xf>
    <xf numFmtId="0" fontId="33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3" fillId="32" borderId="0" applyAlignment="1">
      <alignment vertical="center"/>
    </xf>
    <xf numFmtId="0" fontId="33" fillId="33" borderId="0" applyAlignment="1">
      <alignment vertical="center"/>
    </xf>
    <xf numFmtId="0" fontId="32" fillId="34" borderId="0" applyAlignment="1">
      <alignment vertical="center"/>
    </xf>
    <xf numFmtId="0" fontId="32" fillId="35" borderId="0" applyAlignment="1">
      <alignment vertical="center"/>
    </xf>
    <xf numFmtId="0" fontId="33" fillId="36" borderId="0" applyAlignment="1">
      <alignment vertical="center"/>
    </xf>
    <xf numFmtId="0" fontId="33" fillId="37" borderId="0" applyAlignment="1">
      <alignment vertical="center"/>
    </xf>
    <xf numFmtId="0" fontId="32" fillId="38" borderId="0" applyAlignment="1">
      <alignment vertical="center"/>
    </xf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/>
    </xf>
    <xf numFmtId="0" fontId="9" fillId="5" borderId="2" applyAlignment="1" pivotButton="0" quotePrefix="0" xfId="0">
      <alignment horizontal="center" vertical="center"/>
    </xf>
    <xf numFmtId="3" fontId="9" fillId="5" borderId="2" applyAlignment="1" pivotButton="0" quotePrefix="0" xfId="0">
      <alignment horizontal="center" vertical="center"/>
    </xf>
    <xf numFmtId="3" fontId="9" fillId="5" borderId="2" applyAlignment="1" pivotButton="0" quotePrefix="0" xfId="0">
      <alignment horizontal="left" vertical="center"/>
    </xf>
    <xf numFmtId="0" fontId="9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/>
    </xf>
    <xf numFmtId="3" fontId="9" fillId="6" borderId="2" applyAlignment="1" pivotButton="0" quotePrefix="0" xfId="0">
      <alignment horizontal="center" vertical="center"/>
    </xf>
    <xf numFmtId="3" fontId="9" fillId="6" borderId="2" applyAlignment="1" pivotButton="0" quotePrefix="0" xfId="0">
      <alignment horizontal="left" vertical="center"/>
    </xf>
    <xf numFmtId="0" fontId="11" fillId="3" borderId="3" applyAlignment="1" pivotButton="0" quotePrefix="0" xfId="0">
      <alignment horizontal="right" vertical="center"/>
    </xf>
    <xf numFmtId="0" fontId="0" fillId="0" borderId="4" pivotButton="0" quotePrefix="0" xfId="0"/>
    <xf numFmtId="3" fontId="11" fillId="3" borderId="5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0" fillId="0" borderId="16" pivotButton="0" quotePrefix="0" xfId="0"/>
    <xf numFmtId="0" fontId="34" fillId="4" borderId="0" applyAlignment="1" pivotButton="0" quotePrefix="0" xfId="0">
      <alignment horizontal="left" vertical="center"/>
    </xf>
    <xf numFmtId="0" fontId="14" fillId="0" borderId="0" pivotButton="0" quotePrefix="0" xfId="0"/>
    <xf numFmtId="0" fontId="9" fillId="0" borderId="0" applyAlignment="1" pivotButton="0" quotePrefix="0" xfId="0">
      <alignment horizontal="left" vertical="center"/>
    </xf>
    <xf numFmtId="0" fontId="35" fillId="39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4</col>
      <colOff>442595</colOff>
      <row>22</row>
      <rowOff>66040</rowOff>
    </from>
    <to>
      <col>8</col>
      <colOff>12065</colOff>
      <row>28</row>
      <rowOff>45720</rowOff>
    </to>
    <pic>
      <nvPicPr>
        <cNvPr id="2" name="图片 1" descr="香港盖章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 rot="21360000">
          <a:off x="3757295" y="5006340"/>
          <a:ext cx="2754630" cy="14020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tabSelected="1" topLeftCell="A11" workbookViewId="0">
      <selection activeCell="O25" sqref="O25"/>
    </sheetView>
  </sheetViews>
  <sheetFormatPr baseColWidth="8" defaultColWidth="9" defaultRowHeight="14.4"/>
  <cols>
    <col width="5" customWidth="1" min="1" max="1"/>
    <col width="18" customWidth="1" min="2" max="2"/>
    <col width="13.3333333333333" customWidth="1" min="3" max="3"/>
    <col width="12" customWidth="1" min="4" max="4"/>
    <col width="10" customWidth="1" min="5" max="5"/>
    <col width="12" customWidth="1" min="6" max="7"/>
    <col width="12.4444444444444" customWidth="1" min="8" max="8"/>
  </cols>
  <sheetData>
    <row r="1" ht="16" customHeight="1">
      <c r="A1" s="1" t="inlineStr">
        <is>
          <t>HONG KONG UNICORN TECHNOLOGY LIMITED</t>
        </is>
      </c>
    </row>
    <row r="2" ht="16" customHeight="1"/>
    <row r="3" ht="18" customHeight="1">
      <c r="A3" s="2" t="inlineStr">
        <is>
          <t>RM A07.1701-02, New Trend Centre, 704 Prince Edward Rd East, San Po Kong, Hong Kong</t>
        </is>
      </c>
    </row>
    <row r="4" ht="16" customHeight="1">
      <c r="A4" s="3" t="inlineStr">
        <is>
          <t>Contact: Joy Kim   |   joy@unicornsemi.com   |   (+86) 177-2781-0735</t>
        </is>
      </c>
    </row>
    <row r="5" ht="8" customHeight="1"/>
    <row r="6" ht="32" customHeight="1">
      <c r="A6" s="4" t="inlineStr">
        <is>
          <t>PROFORMA INVOICE</t>
        </is>
      </c>
    </row>
    <row r="7" ht="3" customHeight="1">
      <c r="A7" s="5" t="n"/>
      <c r="B7" s="5" t="n"/>
      <c r="C7" s="5" t="n"/>
      <c r="D7" s="5" t="n"/>
      <c r="E7" s="5" t="n"/>
      <c r="F7" s="5" t="n"/>
      <c r="G7" s="5" t="n"/>
      <c r="H7" s="5" t="n"/>
    </row>
    <row r="8" ht="20" customHeight="1">
      <c r="A8" s="6" t="inlineStr">
        <is>
          <t>Invoice No.:</t>
        </is>
      </c>
      <c r="D8" s="7" t="inlineStr">
        <is>
          <t>UNI2025110501</t>
        </is>
      </c>
      <c r="G8" s="6" t="n"/>
    </row>
    <row r="9" ht="20" customHeight="1">
      <c r="A9" s="6" t="inlineStr">
        <is>
          <t>Date:</t>
        </is>
      </c>
      <c r="D9" s="7" t="inlineStr">
        <is>
          <t>2025-11-05</t>
        </is>
      </c>
    </row>
    <row r="10" ht="8" customHeight="1"/>
    <row r="11" ht="22" customHeight="1">
      <c r="A11" s="8" t="inlineStr">
        <is>
          <t>BILL TO</t>
        </is>
      </c>
    </row>
    <row r="12" ht="18" customHeight="1">
      <c r="A12" s="9" t="inlineStr">
        <is>
          <t>Company:</t>
        </is>
      </c>
      <c r="C12" s="10" t="inlineStr">
        <is>
          <t>TAEJU CO., LTD.</t>
        </is>
      </c>
    </row>
    <row r="13" ht="18" customHeight="1">
      <c r="A13" s="9" t="inlineStr">
        <is>
          <t>Contact:</t>
        </is>
      </c>
      <c r="C13" s="10" t="inlineStr">
        <is>
          <t>Donghyun Kim</t>
        </is>
      </c>
    </row>
    <row r="14" ht="18" customHeight="1">
      <c r="A14" s="9" t="inlineStr">
        <is>
          <t>Email:</t>
        </is>
      </c>
      <c r="C14" s="10" t="inlineStr">
        <is>
          <t>kdh@taeju.net</t>
        </is>
      </c>
    </row>
    <row r="15" ht="18" customHeight="1">
      <c r="A15" s="9" t="inlineStr">
        <is>
          <t>Phone:</t>
        </is>
      </c>
      <c r="C15" s="10" t="inlineStr">
        <is>
          <t>+82) 010-4168-7778</t>
        </is>
      </c>
    </row>
    <row r="16" ht="26" customHeight="1">
      <c r="A16" s="9" t="inlineStr">
        <is>
          <t>Address:</t>
        </is>
      </c>
      <c r="C16" s="10" t="inlineStr">
        <is>
          <t>908, 301, 397, Seokcheon-ro, Bucheon-si, Gyeonggi-do, Republic of Korea</t>
        </is>
      </c>
    </row>
    <row r="17" ht="8" customHeight="1"/>
    <row r="18" ht="24" customHeight="1">
      <c r="A18" s="11" t="inlineStr">
        <is>
          <t>#</t>
        </is>
      </c>
      <c r="B18" s="11" t="inlineStr">
        <is>
          <t>Part No.</t>
        </is>
      </c>
      <c r="C18" s="11" t="inlineStr">
        <is>
          <t>Manufacturer</t>
        </is>
      </c>
      <c r="D18" s="11" t="inlineStr">
        <is>
          <t>D/C</t>
        </is>
      </c>
      <c r="E18" s="11" t="inlineStr">
        <is>
          <t>Qty</t>
        </is>
      </c>
      <c r="F18" s="11" t="inlineStr">
        <is>
          <t>L/T</t>
        </is>
      </c>
      <c r="G18" s="11" t="inlineStr">
        <is>
          <t>Unit Price
(KRW)</t>
        </is>
      </c>
      <c r="H18" s="11" t="inlineStr">
        <is>
          <t>Total Amount
(KRW)</t>
        </is>
      </c>
    </row>
    <row r="19" ht="22" customHeight="1">
      <c r="A19" s="14" t="n">
        <v>1</v>
      </c>
      <c r="B19" s="13" t="inlineStr">
        <is>
          <t>TLP3109A(TP,F)</t>
        </is>
      </c>
      <c r="C19" s="13" t="inlineStr">
        <is>
          <t>TOSHIBA</t>
        </is>
      </c>
      <c r="D19" s="14" t="inlineStr">
        <is>
          <t>Within 4year</t>
        </is>
      </c>
      <c r="E19" s="14" t="n">
        <v>2500</v>
      </c>
      <c r="F19" s="14" t="inlineStr">
        <is>
          <t>1-3 days</t>
        </is>
      </c>
      <c r="G19" s="15" t="n">
        <v>4050</v>
      </c>
      <c r="H19" s="16">
        <f>E19*G19</f>
        <v/>
      </c>
    </row>
    <row r="20" ht="22" customHeight="1">
      <c r="A20" s="17" t="n">
        <v>2</v>
      </c>
      <c r="B20" s="18" t="inlineStr">
        <is>
          <t>CPA2512E27R0FS-T10</t>
        </is>
      </c>
      <c r="C20" s="18" t="inlineStr">
        <is>
          <t>SUSUMU</t>
        </is>
      </c>
      <c r="D20" s="14" t="inlineStr">
        <is>
          <t>Within 4year</t>
        </is>
      </c>
      <c r="E20" s="17" t="n">
        <v>2000</v>
      </c>
      <c r="F20" s="17" t="inlineStr">
        <is>
          <t>2-3 wks</t>
        </is>
      </c>
      <c r="G20" s="19" t="n">
        <v>3250</v>
      </c>
      <c r="H20" s="20">
        <f>E20*G20</f>
        <v/>
      </c>
    </row>
    <row r="21" ht="24" customHeight="1">
      <c r="A21" s="21" t="inlineStr">
        <is>
          <t>TOTAL AMOUNT</t>
        </is>
      </c>
      <c r="B21" s="22" t="n"/>
      <c r="C21" s="22" t="n"/>
      <c r="D21" s="22" t="n"/>
      <c r="E21" s="22" t="n"/>
      <c r="F21" s="22" t="n"/>
      <c r="G21" s="31" t="n"/>
      <c r="H21" s="23">
        <f>SUM(H19:H20)</f>
        <v/>
      </c>
    </row>
    <row r="22" ht="12" customHeight="1"/>
    <row r="23" ht="22" customHeight="1">
      <c r="A23" s="24" t="inlineStr">
        <is>
          <t>TERMS &amp; CONDITIONS</t>
        </is>
      </c>
    </row>
    <row r="24" ht="18" customHeight="1">
      <c r="A24" s="25" t="inlineStr">
        <is>
          <t>1.  Currency: KRW</t>
        </is>
      </c>
    </row>
    <row r="25" ht="18" customHeight="1">
      <c r="A25" s="26" t="inlineStr">
        <is>
          <t>2.  Trade Terms: DAP – Delivered at Place</t>
        </is>
      </c>
    </row>
    <row r="26" ht="18" customHeight="1">
      <c r="A26" s="25" t="inlineStr">
        <is>
          <t>3. Payment time: The next month after receiving the goods</t>
        </is>
      </c>
    </row>
    <row r="27" ht="18" customHeight="1">
      <c r="A27" s="26" t="inlineStr">
        <is>
          <t>4.  Quality Warranty: 1 year from delivery date</t>
        </is>
      </c>
    </row>
    <row r="28" ht="18" customHeight="1">
      <c r="A28" s="25" t="inlineStr">
        <is>
          <t>5.  This PI requires company stamp/seal before confirmation</t>
        </is>
      </c>
    </row>
    <row r="29" ht="12" customHeight="1"/>
    <row r="30" ht="22" customHeight="1">
      <c r="A30" s="32" t="inlineStr">
        <is>
          <t>PAYMENT METHOD – BANK TRANSFER</t>
        </is>
      </c>
    </row>
    <row r="31" ht="18" customHeight="1">
      <c r="A31" s="27" t="inlineStr">
        <is>
          <t>Account Number:</t>
        </is>
      </c>
      <c r="D31" s="28" t="inlineStr">
        <is>
          <t>06201739597884</t>
        </is>
      </c>
    </row>
    <row r="32" ht="18" customHeight="1">
      <c r="A32" s="27" t="inlineStr">
        <is>
          <t>Account Name:</t>
        </is>
      </c>
      <c r="D32" s="28" t="inlineStr">
        <is>
          <t>Hong Kong Unicorn Technology Limited</t>
        </is>
      </c>
    </row>
    <row r="33" ht="18" customHeight="1">
      <c r="A33" s="27" t="inlineStr">
        <is>
          <t>Bank Code:</t>
        </is>
      </c>
      <c r="D33" s="28" t="inlineStr">
        <is>
          <t>003</t>
        </is>
      </c>
    </row>
    <row r="34" ht="18" customHeight="1">
      <c r="A34" s="27" t="inlineStr">
        <is>
          <t>Bank Name:</t>
        </is>
      </c>
      <c r="D34" s="28" t="inlineStr">
        <is>
          <t>IBK - Industrial Bank of Korea</t>
        </is>
      </c>
    </row>
    <row r="35" ht="18" customHeight="1">
      <c r="A35" s="27" t="inlineStr">
        <is>
          <t>Bank Address:</t>
        </is>
      </c>
      <c r="D35" s="28" t="inlineStr">
        <is>
          <t>91, Ogeum-ro, Songpa-gu, Seoul, Korea Industrial Bank of Korea Jamsil Branch</t>
        </is>
      </c>
    </row>
    <row r="36" ht="18" customHeight="1">
      <c r="A36" s="9" t="inlineStr">
        <is>
          <t>Country/Region:</t>
        </is>
      </c>
      <c r="D36" s="34" t="inlineStr">
        <is>
          <t>Korea</t>
        </is>
      </c>
    </row>
    <row r="37" ht="18" customHeight="1">
      <c r="A37" s="27" t="inlineStr">
        <is>
          <t>Type of Account:</t>
        </is>
      </c>
      <c r="D37" t="inlineStr">
        <is>
          <t>Business account</t>
        </is>
      </c>
    </row>
    <row r="38" ht="12" customHeight="1"/>
    <row r="39" ht="26" customHeight="1">
      <c r="A39" s="35" t="inlineStr">
        <is>
          <t>THANK YOU FOR YOUR BUSINESS!</t>
        </is>
      </c>
    </row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</sheetData>
  <mergeCells count="43">
    <mergeCell ref="D35:H35"/>
    <mergeCell ref="C16:H16"/>
    <mergeCell ref="A30:H30"/>
    <mergeCell ref="A15:B15"/>
    <mergeCell ref="A39:H39"/>
    <mergeCell ref="D34:H34"/>
    <mergeCell ref="A37:C37"/>
    <mergeCell ref="A24:H24"/>
    <mergeCell ref="A11:H11"/>
    <mergeCell ref="D31:H31"/>
    <mergeCell ref="G8:H8"/>
    <mergeCell ref="C12:H12"/>
    <mergeCell ref="D36:H36"/>
    <mergeCell ref="A6:H6"/>
    <mergeCell ref="A16:B16"/>
    <mergeCell ref="A33:C33"/>
    <mergeCell ref="A25:H25"/>
    <mergeCell ref="A32:C32"/>
    <mergeCell ref="A8:C8"/>
    <mergeCell ref="D9:F9"/>
    <mergeCell ref="D32:H32"/>
    <mergeCell ref="A35:C35"/>
    <mergeCell ref="D8:F8"/>
    <mergeCell ref="A27:H27"/>
    <mergeCell ref="A12:B12"/>
    <mergeCell ref="A3:H3"/>
    <mergeCell ref="A26:H26"/>
    <mergeCell ref="C13:H13"/>
    <mergeCell ref="A31:C31"/>
    <mergeCell ref="A9:C9"/>
    <mergeCell ref="A14:B14"/>
    <mergeCell ref="D37:H37"/>
    <mergeCell ref="A34:C34"/>
    <mergeCell ref="A23:H23"/>
    <mergeCell ref="A1:H2"/>
    <mergeCell ref="C15:H15"/>
    <mergeCell ref="A4:H4"/>
    <mergeCell ref="A36:C36"/>
    <mergeCell ref="C14:H14"/>
    <mergeCell ref="A21:G21"/>
    <mergeCell ref="D33:H33"/>
    <mergeCell ref="A28:H28"/>
    <mergeCell ref="A13:B13"/>
  </mergeCells>
  <pageMargins left="0.5" right="0.5" top="0.5" bottom="0.5" header="0.5" footer="0.5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2026-03-06T07:11:00Z</dcterms:created>
  <dcterms:modified xmlns:dcterms="http://purl.org/dc/terms/" xmlns:xsi="http://www.w3.org/2001/XMLSchema-instance" xsi:type="dcterms:W3CDTF">2026-03-06T17:49:27Z</dcterms:modified>
  <cp:lastModifiedBy>野人时代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4C0366E3647D4CBDA5D1706F56A4462E_12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